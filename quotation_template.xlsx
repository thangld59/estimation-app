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ng\Dropbox\PV (Selective Sync Conflict)\Startup\Estimation\Production\Forms\"/>
    </mc:Choice>
  </mc:AlternateContent>
  <xr:revisionPtr revIDLastSave="0" documentId="13_ncr:1_{645FF412-211C-4D82-932B-99D68BFCDF3E}" xr6:coauthVersionLast="47" xr6:coauthVersionMax="47" xr10:uidLastSave="{00000000-0000-0000-0000-000000000000}"/>
  <bookViews>
    <workbookView xWindow="-28920" yWindow="7890" windowWidth="29040" windowHeight="15720" xr2:uid="{00000000-000D-0000-FFFF-FFFF00000000}"/>
  </bookViews>
  <sheets>
    <sheet name="Quotation" sheetId="3" r:id="rId1"/>
    <sheet name="items" sheetId="14" r:id="rId2"/>
  </sheets>
  <definedNames>
    <definedName name="_xlnm.Print_Area" localSheetId="0">Quotation!$A$1:$F$28</definedName>
    <definedName name="valuevx">42.314159</definedName>
    <definedName name="vertex42_copyright" hidden="1">"© 2010-2025 Vertex42 LLC"</definedName>
    <definedName name="vertex42_id" hidden="1">"quote-template.xlsx"</definedName>
    <definedName name="vertex42_title" hidden="1">"Price Quote Template"</definedName>
  </definedNames>
  <calcPr calcId="181029"/>
</workbook>
</file>

<file path=xl/calcChain.xml><?xml version="1.0" encoding="utf-8"?>
<calcChain xmlns="http://schemas.openxmlformats.org/spreadsheetml/2006/main">
  <c r="F12" i="3" l="1"/>
  <c r="F16" i="3" l="1"/>
  <c r="F17" i="3" l="1"/>
  <c r="F18" i="3" s="1"/>
</calcChain>
</file>

<file path=xl/sharedStrings.xml><?xml version="1.0" encoding="utf-8"?>
<sst xmlns="http://schemas.openxmlformats.org/spreadsheetml/2006/main" count="172" uniqueCount="131">
  <si>
    <t>[Company Name]</t>
  </si>
  <si>
    <t>[Name]</t>
  </si>
  <si>
    <t>[Phone]</t>
  </si>
  <si>
    <t>[42]</t>
  </si>
  <si>
    <t>Company Name</t>
  </si>
  <si>
    <t>[Street Address]</t>
  </si>
  <si>
    <t>Website: somedomain.com</t>
  </si>
  <si>
    <t>Address</t>
  </si>
  <si>
    <t>Phone:</t>
  </si>
  <si>
    <t>Email:</t>
  </si>
  <si>
    <t>Model</t>
  </si>
  <si>
    <t>Description (requested)</t>
  </si>
  <si>
    <t>Description (proposed)</t>
  </si>
  <si>
    <t>Specification</t>
  </si>
  <si>
    <t>Unit</t>
  </si>
  <si>
    <t>Quantity</t>
  </si>
  <si>
    <t>Material Cost</t>
  </si>
  <si>
    <t>Labour Cost</t>
  </si>
  <si>
    <t>Amount Material</t>
  </si>
  <si>
    <t>Amount Labour</t>
  </si>
  <si>
    <t>Total</t>
  </si>
  <si>
    <t>CXV 1x185</t>
  </si>
  <si>
    <t xml:space="preserve">Cu/xlpe/pvc 1x185mm2 </t>
  </si>
  <si>
    <t>0.6/1kV Cu/XLPE/PVC 1x185</t>
  </si>
  <si>
    <t>1x185</t>
  </si>
  <si>
    <t>m</t>
  </si>
  <si>
    <t>CXV 1x150</t>
  </si>
  <si>
    <t xml:space="preserve">Cu/xlpe/pvc 1x150mm2 </t>
  </si>
  <si>
    <t>0.6/1kV Cu/XLPE/PVC 1x150</t>
  </si>
  <si>
    <t>1x150</t>
  </si>
  <si>
    <t>CXV 4x50</t>
  </si>
  <si>
    <t xml:space="preserve">Cu/xlpe/pvc 4x50mm2 </t>
  </si>
  <si>
    <t>0.6/1kV Cu/XLPE/PVC 4x50</t>
  </si>
  <si>
    <t>CXV 4x35</t>
  </si>
  <si>
    <t xml:space="preserve">Cu/xlpe/pvc 4x35mm2 </t>
  </si>
  <si>
    <t>0.6/1kV Cu/XLPE/PVC 4x35</t>
  </si>
  <si>
    <t>CXV 3x2.5</t>
  </si>
  <si>
    <t>Cu/xlpe/pvc 3Cx2.5mm2</t>
  </si>
  <si>
    <t>0.6/1kV Cu/XLPE/PVC 3x2.5</t>
  </si>
  <si>
    <t>CXV 3x4</t>
  </si>
  <si>
    <t xml:space="preserve">Cu/xlpe/pvc 3x4mm2 </t>
  </si>
  <si>
    <t>0.6/1kV Cu/XLPE/PVC 3x4</t>
  </si>
  <si>
    <t>CXV 3x6</t>
  </si>
  <si>
    <t>Cu/xlpe/pvc 3x6MM2</t>
  </si>
  <si>
    <t>0.6/1kV Cu/XLPE/PVC 3x6</t>
  </si>
  <si>
    <t>CXV 3x10</t>
  </si>
  <si>
    <t>Cu/xlpe/pvc 3x10mm2</t>
  </si>
  <si>
    <t>0.6/1kV Cu/XLPE/PVC 3x10</t>
  </si>
  <si>
    <t>CXV 3x16+1x10</t>
  </si>
  <si>
    <t>Cu/xlpe/pvc 3x16mm2 + E10</t>
  </si>
  <si>
    <t>0.6/1kV Cu/XLPE/PVC 3x16+1x10</t>
  </si>
  <si>
    <t>CXV 4x25</t>
  </si>
  <si>
    <t xml:space="preserve">Cu/xlpe/pvc 4x25mm2 </t>
  </si>
  <si>
    <t>0.6/1kV Cu/XLPE/PVC 4x25</t>
  </si>
  <si>
    <t>CXV 3x25+1x16</t>
  </si>
  <si>
    <t>Cu/xlpe/pvc 3x25mm2 +1Cx16</t>
  </si>
  <si>
    <t>0.6/1kV Cu/XLPE/PVC 3x25+1x16</t>
  </si>
  <si>
    <t>CXV 4x16</t>
  </si>
  <si>
    <t xml:space="preserve">Cu/xlpe/pvc 4x16mm2 </t>
  </si>
  <si>
    <t>0.6/1kV Cu/XLPE/PVC 4x16</t>
  </si>
  <si>
    <t>CXV 4x10</t>
  </si>
  <si>
    <t xml:space="preserve">Cu/xlpe/pvc 4x10mm2 </t>
  </si>
  <si>
    <t>0.6/1kV Cu/XLPE/PVC 4x10</t>
  </si>
  <si>
    <t>CXV 4x6</t>
  </si>
  <si>
    <t xml:space="preserve">Cu/xlpe/pvc 4x6mm2 </t>
  </si>
  <si>
    <t>0.6/1kV Cu/XLPE/PVC 4x6</t>
  </si>
  <si>
    <t>Cu/xlpe/pvc 3x2.5 mm2</t>
  </si>
  <si>
    <t>CXV 2x10</t>
  </si>
  <si>
    <t>Cu/xlpe/pvc 2x10mm2</t>
  </si>
  <si>
    <t>0.6/1kV Cu/XLPE/PVC 2x10</t>
  </si>
  <si>
    <t>VCSF 1x6.0</t>
  </si>
  <si>
    <t>Cu/pvc 1x6mm2</t>
  </si>
  <si>
    <t>0.45/0.7kV Cu/PVC 1x6.0</t>
  </si>
  <si>
    <t>VCSF 1x4.0</t>
  </si>
  <si>
    <t>Cu/pvc 1x4mm2</t>
  </si>
  <si>
    <t>0.45/0.7kV Cu/PVC 1x4.0</t>
  </si>
  <si>
    <t xml:space="preserve">VCSF 1x2.5 </t>
  </si>
  <si>
    <t>Cu/pvc 1x2.5mm2</t>
  </si>
  <si>
    <t xml:space="preserve">0.45/0.7kVCu/PVC 1x2.5 </t>
  </si>
  <si>
    <t>VCSF 1x1.5</t>
  </si>
  <si>
    <t>Cu/pvc 1x1.5mm2</t>
  </si>
  <si>
    <t>0.45/0.7kV Cu/PVC 1x1.5</t>
  </si>
  <si>
    <t>CV 1x95</t>
  </si>
  <si>
    <t>Cu/pvc 1x95mm2 (Dây E)</t>
  </si>
  <si>
    <t>0.6/1kV Cu/PVC 1x95</t>
  </si>
  <si>
    <t>1x95</t>
  </si>
  <si>
    <t>CV 1x70</t>
  </si>
  <si>
    <t>Cu/pvc 1x70mm2 (Dây E)</t>
  </si>
  <si>
    <t>0.6/1kV Cu/PVC 1x70</t>
  </si>
  <si>
    <t>1x70</t>
  </si>
  <si>
    <t>CV 1x25</t>
  </si>
  <si>
    <t>Cu/pvc 1x25mm2 (Dây E)</t>
  </si>
  <si>
    <t>0.6/1kV Cu/PVC 1x25</t>
  </si>
  <si>
    <t>1x25</t>
  </si>
  <si>
    <t>CV 1x16</t>
  </si>
  <si>
    <t>Cu/pvc 1x16mm2 (Dây E)</t>
  </si>
  <si>
    <t>0.6/1kV Cu/PVC 1x16</t>
  </si>
  <si>
    <t>1x16</t>
  </si>
  <si>
    <t>VCSF 1x10.0</t>
  </si>
  <si>
    <t>Cu/pvc 1x10mm2 (Dây E)</t>
  </si>
  <si>
    <t>0.45/0.7kV Cu/PVC 1x10.0</t>
  </si>
  <si>
    <t>Cu/pvc 1x6mm2 (Dây E)</t>
  </si>
  <si>
    <t>Cu/pvc 1x4mm2 (Dây E)</t>
  </si>
  <si>
    <t>Cu/pvc 1x2.5mm2 (Dây E)</t>
  </si>
  <si>
    <t>DSTA 3x2.5</t>
  </si>
  <si>
    <t>Cu/XLPE/PVC/DSTA/PVC 3x2.5</t>
  </si>
  <si>
    <t>0.6/1kV  Cu/XLPE/PVC/DSTA/PVC 3x2.5</t>
  </si>
  <si>
    <t>FSN-DSTA 3x2.5+1x1.5</t>
  </si>
  <si>
    <t>Cu/XLPE/PVC/DSTA/PVC 3x2.5 +1x1.5</t>
  </si>
  <si>
    <t>0.6/1kV Cu/XLPE/Fr-PVC/DSTA/Fr-PVC 3x2.5+1x1.5</t>
  </si>
  <si>
    <t>3x2.5+1x1.5</t>
  </si>
  <si>
    <t>Prepared by:</t>
  </si>
  <si>
    <t>Date:</t>
  </si>
  <si>
    <t>[Email]</t>
  </si>
  <si>
    <t>Quote/ Báo giá</t>
  </si>
  <si>
    <t>Khách hàng</t>
  </si>
  <si>
    <t>Total/ tổng</t>
  </si>
  <si>
    <t>Mô tả</t>
  </si>
  <si>
    <t>Số lượng</t>
  </si>
  <si>
    <t>Giá trị</t>
  </si>
  <si>
    <t>Tổng giá trị báo giá</t>
  </si>
  <si>
    <t>Tổng trước thuế VAT</t>
  </si>
  <si>
    <t>Thuế VAT</t>
  </si>
  <si>
    <t>Tổng bao gồm thuế VAT</t>
  </si>
  <si>
    <t>- Payment/ Thanh toán:</t>
  </si>
  <si>
    <t>- Deliver schedule/ Tiến độ:</t>
  </si>
  <si>
    <t>- Transportation fee/ Phí vận chuyển:</t>
  </si>
  <si>
    <t>- Quotation validity/ Hiệu lực báo giá:</t>
  </si>
  <si>
    <t>Trading terms – Điều khoản thương mại</t>
  </si>
  <si>
    <t>Người bán hàng</t>
  </si>
  <si>
    <t>Xác nhận của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</si>
</sst>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* #,##0.00_);_(* \(#,##0.00\);_(* &quot;-&quot;??_);_(@_)"/>
  </numFmts>
  <fonts count="33" x14ac:knownFonts="1">
    <font>
      <sz val="10"/>
      <name val="Trebuchet MS"/>
      <family val="2"/>
    </font>
    <font>
      <sz val="10"/>
      <name val="Verdana"/>
      <family val="2"/>
    </font>
    <font>
      <sz val="8"/>
      <name val="Trebuchet MS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Trebuchet MS"/>
      <family val="2"/>
      <scheme val="minor"/>
    </font>
    <font>
      <u/>
      <sz val="10"/>
      <color indexed="12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6"/>
      <color theme="4" tint="-0.249977111117893"/>
      <name val="Calibri"/>
      <family val="2"/>
    </font>
    <font>
      <sz val="10"/>
      <name val="Calibri"/>
      <family val="2"/>
    </font>
    <font>
      <b/>
      <sz val="15"/>
      <name val="Calibri"/>
      <family val="2"/>
    </font>
    <font>
      <b/>
      <sz val="11"/>
      <name val="Calibri"/>
      <family val="2"/>
    </font>
    <font>
      <sz val="10"/>
      <color rgb="FF1010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165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1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</cellStyleXfs>
  <cellXfs count="42">
    <xf numFmtId="0" fontId="0" fillId="0" borderId="0" xfId="0"/>
    <xf numFmtId="0" fontId="23" fillId="0" borderId="0" xfId="0" applyFont="1" applyAlignment="1">
      <alignment vertical="center"/>
    </xf>
    <xf numFmtId="0" fontId="24" fillId="0" borderId="0" xfId="0" applyFont="1"/>
    <xf numFmtId="0" fontId="25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26" fillId="0" borderId="0" xfId="0" applyFont="1"/>
    <xf numFmtId="2" fontId="27" fillId="0" borderId="0" xfId="0" applyNumberFormat="1" applyFont="1" applyAlignment="1">
      <alignment horizontal="right" vertical="center"/>
    </xf>
    <xf numFmtId="0" fontId="26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vertical="center"/>
    </xf>
    <xf numFmtId="0" fontId="28" fillId="0" borderId="0" xfId="0" applyFont="1" applyFill="1" applyAlignment="1">
      <alignment horizontal="left" vertical="center" readingOrder="1"/>
    </xf>
    <xf numFmtId="0" fontId="29" fillId="0" borderId="0" xfId="0" applyFont="1" applyAlignment="1" applyProtection="1">
      <alignment vertical="center"/>
      <protection locked="0"/>
    </xf>
    <xf numFmtId="0" fontId="29" fillId="0" borderId="0" xfId="0" applyFont="1" applyAlignment="1">
      <alignment vertical="center"/>
    </xf>
    <xf numFmtId="0" fontId="28" fillId="21" borderId="14" xfId="0" applyFont="1" applyFill="1" applyBorder="1" applyAlignment="1">
      <alignment horizontal="left" vertical="center"/>
    </xf>
    <xf numFmtId="0" fontId="28" fillId="21" borderId="14" xfId="0" applyFont="1" applyFill="1" applyBorder="1" applyAlignment="1">
      <alignment horizontal="center" vertical="center"/>
    </xf>
    <xf numFmtId="0" fontId="26" fillId="0" borderId="14" xfId="0" applyFont="1" applyBorder="1" applyAlignment="1" applyProtection="1">
      <alignment horizontal="left" vertical="center"/>
      <protection locked="0"/>
    </xf>
    <xf numFmtId="0" fontId="26" fillId="0" borderId="14" xfId="0" applyFont="1" applyBorder="1" applyAlignment="1" applyProtection="1">
      <alignment horizontal="center" vertical="center"/>
      <protection locked="0"/>
    </xf>
    <xf numFmtId="3" fontId="26" fillId="0" borderId="14" xfId="28" applyNumberFormat="1" applyFont="1" applyBorder="1" applyAlignment="1" applyProtection="1">
      <alignment horizontal="center" vertical="center"/>
      <protection locked="0"/>
    </xf>
    <xf numFmtId="165" fontId="26" fillId="0" borderId="14" xfId="28" applyFont="1" applyBorder="1" applyAlignment="1" applyProtection="1">
      <alignment vertical="center"/>
      <protection locked="0"/>
    </xf>
    <xf numFmtId="0" fontId="30" fillId="0" borderId="11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3" fontId="30" fillId="0" borderId="13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/>
    </xf>
    <xf numFmtId="9" fontId="26" fillId="0" borderId="12" xfId="0" applyNumberFormat="1" applyFont="1" applyBorder="1" applyAlignment="1">
      <alignment vertical="center"/>
    </xf>
    <xf numFmtId="3" fontId="26" fillId="0" borderId="13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vertical="center"/>
    </xf>
    <xf numFmtId="3" fontId="30" fillId="0" borderId="13" xfId="0" applyNumberFormat="1" applyFont="1" applyBorder="1" applyAlignment="1" applyProtection="1">
      <alignment horizontal="center" vertical="center"/>
      <protection locked="0"/>
    </xf>
    <xf numFmtId="0" fontId="26" fillId="0" borderId="0" xfId="0" applyFont="1" applyBorder="1"/>
    <xf numFmtId="0" fontId="26" fillId="0" borderId="0" xfId="0" applyFont="1" applyBorder="1" applyAlignment="1">
      <alignment horizontal="center" vertical="top"/>
    </xf>
    <xf numFmtId="0" fontId="32" fillId="20" borderId="10" xfId="0" applyFont="1" applyFill="1" applyBorder="1" applyAlignment="1">
      <alignment horizontal="center" vertical="center" wrapText="1" readingOrder="1"/>
    </xf>
    <xf numFmtId="0" fontId="32" fillId="20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left" vertical="center" wrapText="1" readingOrder="1"/>
    </xf>
    <xf numFmtId="0" fontId="26" fillId="0" borderId="10" xfId="0" applyFont="1" applyBorder="1" applyAlignment="1">
      <alignment horizontal="center"/>
    </xf>
    <xf numFmtId="3" fontId="26" fillId="0" borderId="10" xfId="0" applyNumberFormat="1" applyFont="1" applyBorder="1" applyAlignment="1">
      <alignment horizontal="center"/>
    </xf>
    <xf numFmtId="3" fontId="30" fillId="0" borderId="1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 readingOrder="1"/>
    </xf>
    <xf numFmtId="0" fontId="26" fillId="0" borderId="0" xfId="0" applyFont="1" applyAlignment="1">
      <alignment horizontal="center"/>
    </xf>
    <xf numFmtId="0" fontId="30" fillId="0" borderId="15" xfId="0" applyFont="1" applyBorder="1" applyAlignment="1">
      <alignment horizontal="center" vertical="center" wrapText="1" readingOrder="1"/>
    </xf>
    <xf numFmtId="0" fontId="26" fillId="0" borderId="16" xfId="0" applyFont="1" applyBorder="1" applyAlignment="1">
      <alignment horizontal="center" vertical="center" wrapText="1" readingOrder="1"/>
    </xf>
    <xf numFmtId="0" fontId="26" fillId="0" borderId="16" xfId="0" applyFont="1" applyBorder="1" applyAlignment="1">
      <alignment horizontal="center" vertical="center"/>
    </xf>
    <xf numFmtId="3" fontId="26" fillId="0" borderId="16" xfId="0" applyNumberFormat="1" applyFont="1" applyBorder="1" applyAlignment="1">
      <alignment horizontal="center" vertical="center"/>
    </xf>
    <xf numFmtId="3" fontId="26" fillId="0" borderId="17" xfId="0" applyNumberFormat="1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 customBuiltin="1"/>
    <cellStyle name="Normal 2" xfId="44" xr:uid="{54FFCF31-2A18-4CBD-AA56-AE57A005B901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9587</xdr:rowOff>
    </xdr:from>
    <xdr:to>
      <xdr:col>0</xdr:col>
      <xdr:colOff>552387</xdr:colOff>
      <xdr:row>0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87"/>
          <a:ext cx="504762" cy="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6"/>
  <sheetViews>
    <sheetView showGridLines="0" tabSelected="1" view="pageBreakPreview" zoomScale="130" zoomScaleNormal="100" zoomScaleSheetLayoutView="130" workbookViewId="0">
      <selection activeCell="A21" sqref="A21"/>
    </sheetView>
  </sheetViews>
  <sheetFormatPr defaultRowHeight="13.15" x14ac:dyDescent="0.4"/>
  <cols>
    <col min="1" max="1" width="49.28515625" style="5" customWidth="1"/>
    <col min="2" max="2" width="8.7109375" style="5" customWidth="1"/>
    <col min="3" max="3" width="27.78515625" style="5" customWidth="1"/>
    <col min="4" max="4" width="8.85546875" style="5" customWidth="1"/>
    <col min="5" max="5" width="10.7109375" style="5" customWidth="1"/>
    <col min="6" max="6" width="13.5703125" style="5" customWidth="1"/>
    <col min="7" max="7" width="9.140625" style="5" customWidth="1"/>
    <col min="8" max="16384" width="9.140625" style="5"/>
  </cols>
  <sheetData>
    <row r="1" spans="1:6" ht="42" customHeight="1" x14ac:dyDescent="0.4">
      <c r="A1" s="3" t="s">
        <v>4</v>
      </c>
      <c r="B1" s="4"/>
      <c r="C1" s="4"/>
      <c r="F1" s="6" t="s">
        <v>114</v>
      </c>
    </row>
    <row r="2" spans="1:6" s="8" customFormat="1" ht="14.25" x14ac:dyDescent="0.45">
      <c r="A2" s="7" t="s">
        <v>7</v>
      </c>
      <c r="B2" s="7"/>
      <c r="D2" s="9" t="s">
        <v>115</v>
      </c>
    </row>
    <row r="3" spans="1:6" s="8" customFormat="1" x14ac:dyDescent="0.45">
      <c r="A3" s="7" t="s">
        <v>6</v>
      </c>
      <c r="D3" s="10" t="s">
        <v>1</v>
      </c>
    </row>
    <row r="4" spans="1:6" s="8" customFormat="1" x14ac:dyDescent="0.45">
      <c r="A4" s="7" t="s">
        <v>8</v>
      </c>
      <c r="D4" s="10" t="s">
        <v>0</v>
      </c>
    </row>
    <row r="5" spans="1:6" s="8" customFormat="1" x14ac:dyDescent="0.45">
      <c r="A5" s="7" t="s">
        <v>9</v>
      </c>
      <c r="D5" s="10" t="s">
        <v>5</v>
      </c>
    </row>
    <row r="6" spans="1:6" s="8" customFormat="1" x14ac:dyDescent="0.45">
      <c r="A6" s="7" t="s">
        <v>111</v>
      </c>
      <c r="D6" s="10" t="s">
        <v>2</v>
      </c>
    </row>
    <row r="7" spans="1:6" s="8" customFormat="1" x14ac:dyDescent="0.45">
      <c r="A7" s="8" t="s">
        <v>112</v>
      </c>
      <c r="D7" s="10" t="s">
        <v>113</v>
      </c>
    </row>
    <row r="8" spans="1:6" s="8" customFormat="1" x14ac:dyDescent="0.45"/>
    <row r="9" spans="1:6" s="8" customFormat="1" x14ac:dyDescent="0.45">
      <c r="A9" s="11"/>
      <c r="B9" s="11"/>
      <c r="C9" s="11"/>
      <c r="D9" s="11"/>
      <c r="E9" s="11"/>
      <c r="F9" s="11"/>
    </row>
    <row r="10" spans="1:6" s="8" customFormat="1" ht="18" customHeight="1" x14ac:dyDescent="0.45">
      <c r="A10" s="12" t="s">
        <v>117</v>
      </c>
      <c r="B10" s="12"/>
      <c r="C10" s="12"/>
      <c r="D10" s="12"/>
      <c r="E10" s="13" t="s">
        <v>118</v>
      </c>
      <c r="F10" s="13" t="s">
        <v>119</v>
      </c>
    </row>
    <row r="11" spans="1:6" s="8" customFormat="1" x14ac:dyDescent="0.45">
      <c r="A11" s="14"/>
      <c r="B11" s="14"/>
      <c r="C11" s="14"/>
      <c r="D11" s="14"/>
      <c r="E11" s="15"/>
      <c r="F11" s="16"/>
    </row>
    <row r="12" spans="1:6" s="8" customFormat="1" x14ac:dyDescent="0.45">
      <c r="A12" s="14" t="s">
        <v>120</v>
      </c>
      <c r="B12" s="14"/>
      <c r="C12" s="14"/>
      <c r="D12" s="14"/>
      <c r="E12" s="15">
        <v>1</v>
      </c>
      <c r="F12" s="16">
        <f>items!K33</f>
        <v>365398578</v>
      </c>
    </row>
    <row r="13" spans="1:6" s="8" customFormat="1" x14ac:dyDescent="0.45">
      <c r="A13" s="14"/>
      <c r="B13" s="14"/>
      <c r="C13" s="14"/>
      <c r="D13" s="14"/>
      <c r="E13" s="15"/>
      <c r="F13" s="16"/>
    </row>
    <row r="14" spans="1:6" s="8" customFormat="1" x14ac:dyDescent="0.45">
      <c r="A14" s="14"/>
      <c r="B14" s="14"/>
      <c r="C14" s="14"/>
      <c r="D14" s="14"/>
      <c r="E14" s="15"/>
      <c r="F14" s="16"/>
    </row>
    <row r="15" spans="1:6" s="8" customFormat="1" x14ac:dyDescent="0.45">
      <c r="A15" s="14"/>
      <c r="B15" s="14"/>
      <c r="C15" s="14"/>
      <c r="D15" s="14"/>
      <c r="E15" s="15"/>
      <c r="F15" s="17"/>
    </row>
    <row r="16" spans="1:6" s="8" customFormat="1" ht="14.25" x14ac:dyDescent="0.45">
      <c r="A16" s="18" t="s">
        <v>121</v>
      </c>
      <c r="B16" s="19"/>
      <c r="C16" s="19"/>
      <c r="D16" s="20" t="s">
        <v>3</v>
      </c>
      <c r="E16" s="19"/>
      <c r="F16" s="21">
        <f>SUM(F11:F15)</f>
        <v>365398578</v>
      </c>
    </row>
    <row r="17" spans="1:6" s="8" customFormat="1" ht="14.25" x14ac:dyDescent="0.45">
      <c r="A17" s="22" t="s">
        <v>122</v>
      </c>
      <c r="B17" s="23">
        <v>0.1</v>
      </c>
      <c r="C17" s="19"/>
      <c r="D17" s="20"/>
      <c r="E17" s="19"/>
      <c r="F17" s="24">
        <f>F16*B17</f>
        <v>36539857.800000004</v>
      </c>
    </row>
    <row r="18" spans="1:6" s="8" customFormat="1" ht="14.25" x14ac:dyDescent="0.45">
      <c r="A18" s="18" t="s">
        <v>123</v>
      </c>
      <c r="B18" s="19"/>
      <c r="C18" s="19"/>
      <c r="D18" s="25"/>
      <c r="E18" s="19"/>
      <c r="F18" s="26">
        <f>SUM(F16:F17)</f>
        <v>401938435.80000001</v>
      </c>
    </row>
    <row r="19" spans="1:6" s="27" customFormat="1" x14ac:dyDescent="0.4">
      <c r="E19" s="28"/>
      <c r="F19" s="28"/>
    </row>
    <row r="20" spans="1:6" ht="15.75" x14ac:dyDescent="0.5">
      <c r="A20" s="2" t="s">
        <v>128</v>
      </c>
    </row>
    <row r="21" spans="1:6" ht="15.75" x14ac:dyDescent="0.4">
      <c r="A21" s="1" t="s">
        <v>124</v>
      </c>
    </row>
    <row r="22" spans="1:6" ht="15.75" x14ac:dyDescent="0.4">
      <c r="A22" s="1" t="s">
        <v>125</v>
      </c>
    </row>
    <row r="23" spans="1:6" ht="15.75" x14ac:dyDescent="0.4">
      <c r="A23" s="1" t="s">
        <v>126</v>
      </c>
    </row>
    <row r="24" spans="1:6" ht="15.75" x14ac:dyDescent="0.4">
      <c r="A24" s="1" t="s">
        <v>127</v>
      </c>
    </row>
    <row r="26" spans="1:6" ht="15.75" x14ac:dyDescent="0.4">
      <c r="A26" s="1" t="s">
        <v>129</v>
      </c>
      <c r="D26" s="5" t="s">
        <v>130</v>
      </c>
    </row>
  </sheetData>
  <mergeCells count="7">
    <mergeCell ref="A14:D14"/>
    <mergeCell ref="A10:D10"/>
    <mergeCell ref="A11:D11"/>
    <mergeCell ref="A12:D12"/>
    <mergeCell ref="A13:D13"/>
    <mergeCell ref="E19:F19"/>
    <mergeCell ref="A15:D15"/>
  </mergeCells>
  <phoneticPr fontId="2" type="noConversion"/>
  <conditionalFormatting sqref="A11:A15 E11:F15">
    <cfRule type="expression" dxfId="0" priority="1" stopIfTrue="1">
      <formula>MOD(ROW(),2)=1</formula>
    </cfRule>
  </conditionalFormatting>
  <printOptions horizontalCentered="1"/>
  <pageMargins left="0.51181102362204722" right="0.51181102362204722" top="0.51181102362204722" bottom="0.51181102362204722" header="0.51181102362204722" footer="0.23622047244094491"/>
  <pageSetup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B5BC-4E96-4117-B096-2DD3533328D2}">
  <sheetPr>
    <pageSetUpPr fitToPage="1"/>
  </sheetPr>
  <dimension ref="A1:K33"/>
  <sheetViews>
    <sheetView zoomScale="115" zoomScaleNormal="115" workbookViewId="0">
      <selection activeCell="D35" sqref="D35"/>
    </sheetView>
  </sheetViews>
  <sheetFormatPr defaultRowHeight="13.15" x14ac:dyDescent="0.4"/>
  <cols>
    <col min="1" max="1" width="20.2109375" style="35" bestFit="1" customWidth="1"/>
    <col min="2" max="2" width="26.42578125" style="35" customWidth="1"/>
    <col min="3" max="3" width="29.2109375" style="35" customWidth="1"/>
    <col min="4" max="4" width="17.5" style="35" customWidth="1"/>
    <col min="5" max="5" width="6.35546875" style="36" customWidth="1"/>
    <col min="6" max="6" width="10.640625" style="36" customWidth="1"/>
    <col min="7" max="7" width="15.0703125" style="36" customWidth="1"/>
    <col min="8" max="8" width="12.92578125" style="36" customWidth="1"/>
    <col min="9" max="9" width="18.2109375" style="36" customWidth="1"/>
    <col min="10" max="10" width="16.35546875" style="36" customWidth="1"/>
    <col min="11" max="11" width="12.5" style="36" bestFit="1" customWidth="1"/>
    <col min="12" max="16384" width="9.140625" style="5"/>
  </cols>
  <sheetData>
    <row r="1" spans="1:11" ht="21.75" customHeight="1" x14ac:dyDescent="0.4">
      <c r="A1" s="29" t="s">
        <v>10</v>
      </c>
      <c r="B1" s="29" t="s">
        <v>11</v>
      </c>
      <c r="C1" s="29" t="s">
        <v>12</v>
      </c>
      <c r="D1" s="29" t="s">
        <v>13</v>
      </c>
      <c r="E1" s="30" t="s">
        <v>14</v>
      </c>
      <c r="F1" s="30" t="s">
        <v>15</v>
      </c>
      <c r="G1" s="30" t="s">
        <v>16</v>
      </c>
      <c r="H1" s="30" t="s">
        <v>17</v>
      </c>
      <c r="I1" s="30" t="s">
        <v>18</v>
      </c>
      <c r="J1" s="30" t="s">
        <v>19</v>
      </c>
      <c r="K1" s="30" t="s">
        <v>20</v>
      </c>
    </row>
    <row r="2" spans="1:11" x14ac:dyDescent="0.4">
      <c r="A2" s="31" t="s">
        <v>21</v>
      </c>
      <c r="B2" s="31" t="s">
        <v>22</v>
      </c>
      <c r="C2" s="31" t="s">
        <v>23</v>
      </c>
      <c r="D2" s="31" t="s">
        <v>24</v>
      </c>
      <c r="E2" s="32" t="s">
        <v>25</v>
      </c>
      <c r="F2" s="32">
        <v>100</v>
      </c>
      <c r="G2" s="33">
        <v>621500</v>
      </c>
      <c r="H2" s="33">
        <v>0</v>
      </c>
      <c r="I2" s="33">
        <v>62150000</v>
      </c>
      <c r="J2" s="33">
        <v>0</v>
      </c>
      <c r="K2" s="33">
        <v>62150000</v>
      </c>
    </row>
    <row r="3" spans="1:11" x14ac:dyDescent="0.4">
      <c r="A3" s="31" t="s">
        <v>26</v>
      </c>
      <c r="B3" s="31" t="s">
        <v>27</v>
      </c>
      <c r="C3" s="31" t="s">
        <v>28</v>
      </c>
      <c r="D3" s="31" t="s">
        <v>29</v>
      </c>
      <c r="E3" s="32" t="s">
        <v>25</v>
      </c>
      <c r="F3" s="32">
        <v>180</v>
      </c>
      <c r="G3" s="33">
        <v>499515</v>
      </c>
      <c r="H3" s="33">
        <v>0</v>
      </c>
      <c r="I3" s="33">
        <v>89912700</v>
      </c>
      <c r="J3" s="33">
        <v>0</v>
      </c>
      <c r="K3" s="33">
        <v>89912700</v>
      </c>
    </row>
    <row r="4" spans="1:11" x14ac:dyDescent="0.4">
      <c r="A4" s="31" t="s">
        <v>30</v>
      </c>
      <c r="B4" s="31" t="s">
        <v>31</v>
      </c>
      <c r="C4" s="31" t="s">
        <v>32</v>
      </c>
      <c r="D4" s="31"/>
      <c r="E4" s="32" t="s">
        <v>25</v>
      </c>
      <c r="F4" s="32">
        <v>15</v>
      </c>
      <c r="G4" s="33">
        <v>661099</v>
      </c>
      <c r="H4" s="33">
        <v>0</v>
      </c>
      <c r="I4" s="33">
        <v>9916485</v>
      </c>
      <c r="J4" s="33">
        <v>0</v>
      </c>
      <c r="K4" s="33">
        <v>9916485</v>
      </c>
    </row>
    <row r="5" spans="1:11" x14ac:dyDescent="0.4">
      <c r="A5" s="31" t="s">
        <v>33</v>
      </c>
      <c r="B5" s="31" t="s">
        <v>34</v>
      </c>
      <c r="C5" s="31" t="s">
        <v>35</v>
      </c>
      <c r="D5" s="31"/>
      <c r="E5" s="32" t="s">
        <v>25</v>
      </c>
      <c r="F5" s="32">
        <v>25</v>
      </c>
      <c r="G5" s="33">
        <v>485537</v>
      </c>
      <c r="H5" s="33">
        <v>0</v>
      </c>
      <c r="I5" s="33">
        <v>12138425</v>
      </c>
      <c r="J5" s="33">
        <v>0</v>
      </c>
      <c r="K5" s="33">
        <v>12138425</v>
      </c>
    </row>
    <row r="6" spans="1:11" x14ac:dyDescent="0.4">
      <c r="A6" s="31" t="s">
        <v>36</v>
      </c>
      <c r="B6" s="31" t="s">
        <v>37</v>
      </c>
      <c r="C6" s="31" t="s">
        <v>38</v>
      </c>
      <c r="D6" s="31"/>
      <c r="E6" s="32" t="s">
        <v>25</v>
      </c>
      <c r="F6" s="32">
        <v>26</v>
      </c>
      <c r="G6" s="33">
        <v>33471</v>
      </c>
      <c r="H6" s="33">
        <v>0</v>
      </c>
      <c r="I6" s="33">
        <v>870246</v>
      </c>
      <c r="J6" s="33">
        <v>0</v>
      </c>
      <c r="K6" s="33">
        <v>870246</v>
      </c>
    </row>
    <row r="7" spans="1:11" x14ac:dyDescent="0.4">
      <c r="A7" s="31" t="s">
        <v>39</v>
      </c>
      <c r="B7" s="31" t="s">
        <v>40</v>
      </c>
      <c r="C7" s="31" t="s">
        <v>41</v>
      </c>
      <c r="D7" s="31"/>
      <c r="E7" s="32" t="s">
        <v>25</v>
      </c>
      <c r="F7" s="32">
        <v>27</v>
      </c>
      <c r="G7" s="33">
        <v>51116</v>
      </c>
      <c r="H7" s="33">
        <v>0</v>
      </c>
      <c r="I7" s="33">
        <v>1380132</v>
      </c>
      <c r="J7" s="33">
        <v>0</v>
      </c>
      <c r="K7" s="33">
        <v>1380132</v>
      </c>
    </row>
    <row r="8" spans="1:11" x14ac:dyDescent="0.4">
      <c r="A8" s="31" t="s">
        <v>42</v>
      </c>
      <c r="B8" s="31" t="s">
        <v>43</v>
      </c>
      <c r="C8" s="31" t="s">
        <v>44</v>
      </c>
      <c r="D8" s="31"/>
      <c r="E8" s="32" t="s">
        <v>25</v>
      </c>
      <c r="F8" s="32">
        <v>28</v>
      </c>
      <c r="G8" s="33">
        <v>72277</v>
      </c>
      <c r="H8" s="33">
        <v>0</v>
      </c>
      <c r="I8" s="33">
        <v>2023756</v>
      </c>
      <c r="J8" s="33">
        <v>0</v>
      </c>
      <c r="K8" s="33">
        <v>2023756</v>
      </c>
    </row>
    <row r="9" spans="1:11" x14ac:dyDescent="0.4">
      <c r="A9" s="31" t="s">
        <v>45</v>
      </c>
      <c r="B9" s="31" t="s">
        <v>46</v>
      </c>
      <c r="C9" s="31" t="s">
        <v>47</v>
      </c>
      <c r="D9" s="31"/>
      <c r="E9" s="32" t="s">
        <v>25</v>
      </c>
      <c r="F9" s="32">
        <v>29</v>
      </c>
      <c r="G9" s="33">
        <v>113661</v>
      </c>
      <c r="H9" s="33">
        <v>0</v>
      </c>
      <c r="I9" s="33">
        <v>3296169</v>
      </c>
      <c r="J9" s="33">
        <v>0</v>
      </c>
      <c r="K9" s="33">
        <v>3296169</v>
      </c>
    </row>
    <row r="10" spans="1:11" x14ac:dyDescent="0.4">
      <c r="A10" s="31" t="s">
        <v>48</v>
      </c>
      <c r="B10" s="31" t="s">
        <v>49</v>
      </c>
      <c r="C10" s="31" t="s">
        <v>50</v>
      </c>
      <c r="D10" s="31"/>
      <c r="E10" s="32" t="s">
        <v>25</v>
      </c>
      <c r="F10" s="32">
        <v>30</v>
      </c>
      <c r="G10" s="33">
        <v>209710</v>
      </c>
      <c r="H10" s="33">
        <v>0</v>
      </c>
      <c r="I10" s="33">
        <v>6291300</v>
      </c>
      <c r="J10" s="33">
        <v>0</v>
      </c>
      <c r="K10" s="33">
        <v>6291300</v>
      </c>
    </row>
    <row r="11" spans="1:11" x14ac:dyDescent="0.4">
      <c r="A11" s="31" t="s">
        <v>51</v>
      </c>
      <c r="B11" s="31" t="s">
        <v>52</v>
      </c>
      <c r="C11" s="31" t="s">
        <v>53</v>
      </c>
      <c r="D11" s="31"/>
      <c r="E11" s="32" t="s">
        <v>25</v>
      </c>
      <c r="F11" s="32">
        <v>75</v>
      </c>
      <c r="G11" s="33">
        <v>353849</v>
      </c>
      <c r="H11" s="33">
        <v>0</v>
      </c>
      <c r="I11" s="33">
        <v>26538675</v>
      </c>
      <c r="J11" s="33">
        <v>0</v>
      </c>
      <c r="K11" s="33">
        <v>26538675</v>
      </c>
    </row>
    <row r="12" spans="1:11" x14ac:dyDescent="0.4">
      <c r="A12" s="31" t="s">
        <v>54</v>
      </c>
      <c r="B12" s="31" t="s">
        <v>55</v>
      </c>
      <c r="C12" s="31" t="s">
        <v>56</v>
      </c>
      <c r="D12" s="31"/>
      <c r="E12" s="32" t="s">
        <v>25</v>
      </c>
      <c r="F12" s="32">
        <v>75</v>
      </c>
      <c r="G12" s="33">
        <v>322474</v>
      </c>
      <c r="H12" s="33">
        <v>0</v>
      </c>
      <c r="I12" s="33">
        <v>24185550</v>
      </c>
      <c r="J12" s="33">
        <v>0</v>
      </c>
      <c r="K12" s="33">
        <v>24185550</v>
      </c>
    </row>
    <row r="13" spans="1:11" x14ac:dyDescent="0.4">
      <c r="A13" s="31" t="s">
        <v>57</v>
      </c>
      <c r="B13" s="31" t="s">
        <v>58</v>
      </c>
      <c r="C13" s="31" t="s">
        <v>59</v>
      </c>
      <c r="D13" s="31"/>
      <c r="E13" s="32" t="s">
        <v>25</v>
      </c>
      <c r="F13" s="32">
        <v>15</v>
      </c>
      <c r="G13" s="33">
        <v>227676</v>
      </c>
      <c r="H13" s="33">
        <v>0</v>
      </c>
      <c r="I13" s="33">
        <v>3415140</v>
      </c>
      <c r="J13" s="33">
        <v>0</v>
      </c>
      <c r="K13" s="33">
        <v>3415140</v>
      </c>
    </row>
    <row r="14" spans="1:11" x14ac:dyDescent="0.4">
      <c r="A14" s="31" t="s">
        <v>60</v>
      </c>
      <c r="B14" s="31" t="s">
        <v>61</v>
      </c>
      <c r="C14" s="31" t="s">
        <v>62</v>
      </c>
      <c r="D14" s="31"/>
      <c r="E14" s="32" t="s">
        <v>25</v>
      </c>
      <c r="F14" s="32">
        <v>60</v>
      </c>
      <c r="G14" s="33">
        <v>149351</v>
      </c>
      <c r="H14" s="33">
        <v>0</v>
      </c>
      <c r="I14" s="33">
        <v>8961060</v>
      </c>
      <c r="J14" s="33">
        <v>0</v>
      </c>
      <c r="K14" s="33">
        <v>8961060</v>
      </c>
    </row>
    <row r="15" spans="1:11" x14ac:dyDescent="0.4">
      <c r="A15" s="31" t="s">
        <v>63</v>
      </c>
      <c r="B15" s="31" t="s">
        <v>64</v>
      </c>
      <c r="C15" s="31" t="s">
        <v>65</v>
      </c>
      <c r="D15" s="31"/>
      <c r="E15" s="32" t="s">
        <v>25</v>
      </c>
      <c r="F15" s="32">
        <v>60</v>
      </c>
      <c r="G15" s="33">
        <v>94595</v>
      </c>
      <c r="H15" s="33">
        <v>0</v>
      </c>
      <c r="I15" s="33">
        <v>5675700</v>
      </c>
      <c r="J15" s="33">
        <v>0</v>
      </c>
      <c r="K15" s="33">
        <v>5675700</v>
      </c>
    </row>
    <row r="16" spans="1:11" x14ac:dyDescent="0.4">
      <c r="A16" s="31" t="s">
        <v>39</v>
      </c>
      <c r="B16" s="31" t="s">
        <v>40</v>
      </c>
      <c r="C16" s="31" t="s">
        <v>41</v>
      </c>
      <c r="D16" s="31"/>
      <c r="E16" s="32" t="s">
        <v>25</v>
      </c>
      <c r="F16" s="32">
        <v>15</v>
      </c>
      <c r="G16" s="33">
        <v>51116</v>
      </c>
      <c r="H16" s="33">
        <v>0</v>
      </c>
      <c r="I16" s="33">
        <v>766740</v>
      </c>
      <c r="J16" s="33">
        <v>0</v>
      </c>
      <c r="K16" s="33">
        <v>766740</v>
      </c>
    </row>
    <row r="17" spans="1:11" x14ac:dyDescent="0.4">
      <c r="A17" s="31" t="s">
        <v>36</v>
      </c>
      <c r="B17" s="31" t="s">
        <v>66</v>
      </c>
      <c r="C17" s="31" t="s">
        <v>38</v>
      </c>
      <c r="D17" s="31"/>
      <c r="E17" s="32" t="s">
        <v>25</v>
      </c>
      <c r="F17" s="32">
        <v>15</v>
      </c>
      <c r="G17" s="33">
        <v>33471</v>
      </c>
      <c r="H17" s="33">
        <v>0</v>
      </c>
      <c r="I17" s="33">
        <v>502065</v>
      </c>
      <c r="J17" s="33">
        <v>0</v>
      </c>
      <c r="K17" s="33">
        <v>502065</v>
      </c>
    </row>
    <row r="18" spans="1:11" x14ac:dyDescent="0.4">
      <c r="A18" s="31" t="s">
        <v>67</v>
      </c>
      <c r="B18" s="31" t="s">
        <v>68</v>
      </c>
      <c r="C18" s="31" t="s">
        <v>69</v>
      </c>
      <c r="D18" s="31"/>
      <c r="E18" s="32" t="s">
        <v>25</v>
      </c>
      <c r="F18" s="32">
        <v>70</v>
      </c>
      <c r="G18" s="33">
        <v>77435</v>
      </c>
      <c r="H18" s="33">
        <v>0</v>
      </c>
      <c r="I18" s="33">
        <v>5420450</v>
      </c>
      <c r="J18" s="33">
        <v>0</v>
      </c>
      <c r="K18" s="33">
        <v>5420450</v>
      </c>
    </row>
    <row r="19" spans="1:11" x14ac:dyDescent="0.4">
      <c r="A19" s="31" t="s">
        <v>70</v>
      </c>
      <c r="B19" s="31" t="s">
        <v>71</v>
      </c>
      <c r="C19" s="31" t="s">
        <v>72</v>
      </c>
      <c r="D19" s="31"/>
      <c r="E19" s="32" t="s">
        <v>25</v>
      </c>
      <c r="F19" s="32">
        <v>50</v>
      </c>
      <c r="G19" s="33">
        <v>20798</v>
      </c>
      <c r="H19" s="33">
        <v>0</v>
      </c>
      <c r="I19" s="33">
        <v>1039900</v>
      </c>
      <c r="J19" s="33">
        <v>0</v>
      </c>
      <c r="K19" s="33">
        <v>1039900</v>
      </c>
    </row>
    <row r="20" spans="1:11" x14ac:dyDescent="0.4">
      <c r="A20" s="31" t="s">
        <v>73</v>
      </c>
      <c r="B20" s="31" t="s">
        <v>74</v>
      </c>
      <c r="C20" s="31" t="s">
        <v>75</v>
      </c>
      <c r="D20" s="31"/>
      <c r="E20" s="32" t="s">
        <v>25</v>
      </c>
      <c r="F20" s="32">
        <v>100</v>
      </c>
      <c r="G20" s="33">
        <v>13601</v>
      </c>
      <c r="H20" s="33">
        <v>0</v>
      </c>
      <c r="I20" s="33">
        <v>1360100</v>
      </c>
      <c r="J20" s="33">
        <v>0</v>
      </c>
      <c r="K20" s="33">
        <v>1360100</v>
      </c>
    </row>
    <row r="21" spans="1:11" x14ac:dyDescent="0.4">
      <c r="A21" s="31" t="s">
        <v>76</v>
      </c>
      <c r="B21" s="31" t="s">
        <v>77</v>
      </c>
      <c r="C21" s="31" t="s">
        <v>78</v>
      </c>
      <c r="D21" s="31"/>
      <c r="E21" s="32" t="s">
        <v>25</v>
      </c>
      <c r="F21" s="32">
        <v>3200</v>
      </c>
      <c r="G21" s="33">
        <v>8566</v>
      </c>
      <c r="H21" s="33">
        <v>0</v>
      </c>
      <c r="I21" s="33">
        <v>27411200</v>
      </c>
      <c r="J21" s="33">
        <v>0</v>
      </c>
      <c r="K21" s="33">
        <v>27411200</v>
      </c>
    </row>
    <row r="22" spans="1:11" x14ac:dyDescent="0.4">
      <c r="A22" s="31" t="s">
        <v>79</v>
      </c>
      <c r="B22" s="31" t="s">
        <v>80</v>
      </c>
      <c r="C22" s="31" t="s">
        <v>81</v>
      </c>
      <c r="D22" s="31"/>
      <c r="E22" s="32" t="s">
        <v>25</v>
      </c>
      <c r="F22" s="32">
        <v>3800</v>
      </c>
      <c r="G22" s="33">
        <v>5266</v>
      </c>
      <c r="H22" s="33">
        <v>0</v>
      </c>
      <c r="I22" s="33">
        <v>20010800</v>
      </c>
      <c r="J22" s="33">
        <v>0</v>
      </c>
      <c r="K22" s="33">
        <v>20010800</v>
      </c>
    </row>
    <row r="23" spans="1:11" x14ac:dyDescent="0.4">
      <c r="A23" s="31" t="s">
        <v>82</v>
      </c>
      <c r="B23" s="31" t="s">
        <v>83</v>
      </c>
      <c r="C23" s="31" t="s">
        <v>84</v>
      </c>
      <c r="D23" s="31" t="s">
        <v>85</v>
      </c>
      <c r="E23" s="32" t="s">
        <v>25</v>
      </c>
      <c r="F23" s="32">
        <v>25</v>
      </c>
      <c r="G23" s="33">
        <v>317264</v>
      </c>
      <c r="H23" s="33">
        <v>0</v>
      </c>
      <c r="I23" s="33">
        <v>7931600</v>
      </c>
      <c r="J23" s="33">
        <v>0</v>
      </c>
      <c r="K23" s="33">
        <v>7931600</v>
      </c>
    </row>
    <row r="24" spans="1:11" x14ac:dyDescent="0.4">
      <c r="A24" s="31" t="s">
        <v>86</v>
      </c>
      <c r="B24" s="31" t="s">
        <v>87</v>
      </c>
      <c r="C24" s="31" t="s">
        <v>88</v>
      </c>
      <c r="D24" s="31" t="s">
        <v>89</v>
      </c>
      <c r="E24" s="32" t="s">
        <v>25</v>
      </c>
      <c r="F24" s="32">
        <v>45</v>
      </c>
      <c r="G24" s="33">
        <v>228580</v>
      </c>
      <c r="H24" s="33">
        <v>0</v>
      </c>
      <c r="I24" s="33">
        <v>10286100</v>
      </c>
      <c r="J24" s="33">
        <v>0</v>
      </c>
      <c r="K24" s="33">
        <v>10286100</v>
      </c>
    </row>
    <row r="25" spans="1:11" x14ac:dyDescent="0.4">
      <c r="A25" s="31" t="s">
        <v>90</v>
      </c>
      <c r="B25" s="31" t="s">
        <v>91</v>
      </c>
      <c r="C25" s="31" t="s">
        <v>92</v>
      </c>
      <c r="D25" s="31" t="s">
        <v>93</v>
      </c>
      <c r="E25" s="32" t="s">
        <v>25</v>
      </c>
      <c r="F25" s="32">
        <v>15</v>
      </c>
      <c r="G25" s="33">
        <v>84804</v>
      </c>
      <c r="H25" s="33">
        <v>0</v>
      </c>
      <c r="I25" s="33">
        <v>1272060</v>
      </c>
      <c r="J25" s="33">
        <v>0</v>
      </c>
      <c r="K25" s="33">
        <v>1272060</v>
      </c>
    </row>
    <row r="26" spans="1:11" x14ac:dyDescent="0.4">
      <c r="A26" s="31" t="s">
        <v>94</v>
      </c>
      <c r="B26" s="31" t="s">
        <v>95</v>
      </c>
      <c r="C26" s="31" t="s">
        <v>96</v>
      </c>
      <c r="D26" s="31" t="s">
        <v>97</v>
      </c>
      <c r="E26" s="32" t="s">
        <v>25</v>
      </c>
      <c r="F26" s="32">
        <v>90</v>
      </c>
      <c r="G26" s="33">
        <v>54694</v>
      </c>
      <c r="H26" s="33">
        <v>0</v>
      </c>
      <c r="I26" s="33">
        <v>4922460</v>
      </c>
      <c r="J26" s="33">
        <v>0</v>
      </c>
      <c r="K26" s="33">
        <v>4922460</v>
      </c>
    </row>
    <row r="27" spans="1:11" x14ac:dyDescent="0.4">
      <c r="A27" s="31" t="s">
        <v>98</v>
      </c>
      <c r="B27" s="31" t="s">
        <v>99</v>
      </c>
      <c r="C27" s="31" t="s">
        <v>100</v>
      </c>
      <c r="D27" s="31"/>
      <c r="E27" s="32" t="s">
        <v>25</v>
      </c>
      <c r="F27" s="32">
        <v>130</v>
      </c>
      <c r="G27" s="33">
        <v>36736</v>
      </c>
      <c r="H27" s="33">
        <v>0</v>
      </c>
      <c r="I27" s="33">
        <v>4775680</v>
      </c>
      <c r="J27" s="33">
        <v>0</v>
      </c>
      <c r="K27" s="33">
        <v>4775680</v>
      </c>
    </row>
    <row r="28" spans="1:11" x14ac:dyDescent="0.4">
      <c r="A28" s="31" t="s">
        <v>70</v>
      </c>
      <c r="B28" s="31" t="s">
        <v>101</v>
      </c>
      <c r="C28" s="31" t="s">
        <v>72</v>
      </c>
      <c r="D28" s="31"/>
      <c r="E28" s="32" t="s">
        <v>25</v>
      </c>
      <c r="F28" s="32">
        <v>85</v>
      </c>
      <c r="G28" s="33">
        <v>20798</v>
      </c>
      <c r="H28" s="33">
        <v>0</v>
      </c>
      <c r="I28" s="33">
        <v>1767830</v>
      </c>
      <c r="J28" s="33">
        <v>0</v>
      </c>
      <c r="K28" s="33">
        <v>1767830</v>
      </c>
    </row>
    <row r="29" spans="1:11" x14ac:dyDescent="0.4">
      <c r="A29" s="31" t="s">
        <v>73</v>
      </c>
      <c r="B29" s="31" t="s">
        <v>102</v>
      </c>
      <c r="C29" s="31" t="s">
        <v>75</v>
      </c>
      <c r="D29" s="31"/>
      <c r="E29" s="32" t="s">
        <v>25</v>
      </c>
      <c r="F29" s="32">
        <v>65</v>
      </c>
      <c r="G29" s="33">
        <v>13601</v>
      </c>
      <c r="H29" s="33">
        <v>0</v>
      </c>
      <c r="I29" s="33">
        <v>884065</v>
      </c>
      <c r="J29" s="33">
        <v>0</v>
      </c>
      <c r="K29" s="33">
        <v>884065</v>
      </c>
    </row>
    <row r="30" spans="1:11" x14ac:dyDescent="0.4">
      <c r="A30" s="31" t="s">
        <v>76</v>
      </c>
      <c r="B30" s="31" t="s">
        <v>103</v>
      </c>
      <c r="C30" s="31" t="s">
        <v>78</v>
      </c>
      <c r="D30" s="31"/>
      <c r="E30" s="32" t="s">
        <v>25</v>
      </c>
      <c r="F30" s="32">
        <v>1615</v>
      </c>
      <c r="G30" s="33">
        <v>8566</v>
      </c>
      <c r="H30" s="33">
        <v>0</v>
      </c>
      <c r="I30" s="33">
        <v>13834090</v>
      </c>
      <c r="J30" s="33">
        <v>0</v>
      </c>
      <c r="K30" s="33">
        <v>13834090</v>
      </c>
    </row>
    <row r="31" spans="1:11" ht="26.25" x14ac:dyDescent="0.4">
      <c r="A31" s="31" t="s">
        <v>104</v>
      </c>
      <c r="B31" s="31" t="s">
        <v>105</v>
      </c>
      <c r="C31" s="31" t="s">
        <v>106</v>
      </c>
      <c r="D31" s="31"/>
      <c r="E31" s="32" t="s">
        <v>25</v>
      </c>
      <c r="F31" s="32">
        <v>30</v>
      </c>
      <c r="G31" s="33">
        <v>42730</v>
      </c>
      <c r="H31" s="33">
        <v>0</v>
      </c>
      <c r="I31" s="33">
        <v>1281900</v>
      </c>
      <c r="J31" s="33">
        <v>0</v>
      </c>
      <c r="K31" s="33">
        <v>1281900</v>
      </c>
    </row>
    <row r="32" spans="1:11" ht="26.25" x14ac:dyDescent="0.4">
      <c r="A32" s="31" t="s">
        <v>107</v>
      </c>
      <c r="B32" s="31" t="s">
        <v>108</v>
      </c>
      <c r="C32" s="31" t="s">
        <v>109</v>
      </c>
      <c r="D32" s="31" t="s">
        <v>110</v>
      </c>
      <c r="E32" s="32" t="s">
        <v>25</v>
      </c>
      <c r="F32" s="32">
        <v>100</v>
      </c>
      <c r="G32" s="33">
        <v>51762</v>
      </c>
      <c r="H32" s="33">
        <v>0</v>
      </c>
      <c r="I32" s="33">
        <v>5176200</v>
      </c>
      <c r="J32" s="33">
        <v>0</v>
      </c>
      <c r="K32" s="33">
        <v>5176200</v>
      </c>
    </row>
    <row r="33" spans="1:11" ht="21.4" customHeight="1" x14ac:dyDescent="0.4">
      <c r="A33" s="37" t="s">
        <v>116</v>
      </c>
      <c r="B33" s="38"/>
      <c r="C33" s="38"/>
      <c r="D33" s="38"/>
      <c r="E33" s="39"/>
      <c r="F33" s="39"/>
      <c r="G33" s="40"/>
      <c r="H33" s="40"/>
      <c r="I33" s="40"/>
      <c r="J33" s="41"/>
      <c r="K33" s="34">
        <v>365398578</v>
      </c>
    </row>
  </sheetData>
  <pageMargins left="0.9055118110236221" right="0.51181102362204722" top="0.94488188976377963" bottom="0.74803149606299213" header="0.31496062992125984" footer="0.31496062992125984"/>
  <pageSetup paperSize="9" scale="7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Quotation</vt:lpstr>
      <vt:lpstr>items</vt:lpstr>
      <vt:lpstr>Quotation!Print_Area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Quote Template</dc:title>
  <dc:creator>Vertex42.com</dc:creator>
  <dc:description>(c) 2010-2014 Vertex42 LLC. All Rights Reserved.</dc:description>
  <cp:lastModifiedBy>Thang Le Duc</cp:lastModifiedBy>
  <cp:lastPrinted>2025-12-02T07:20:07Z</cp:lastPrinted>
  <dcterms:created xsi:type="dcterms:W3CDTF">2004-08-16T18:44:14Z</dcterms:created>
  <dcterms:modified xsi:type="dcterms:W3CDTF">2025-12-02T11:16:06Z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Source">
    <vt:lpwstr>https://www.vertex42.com/ExcelTemplates/quote-template.html</vt:lpwstr>
  </property>
  <property fmtid="{D5CDD505-2E9C-101B-9397-08002B2CF9AE}" pid="4" name="Version">
    <vt:lpwstr>1.2.2</vt:lpwstr>
  </property>
</Properties>
</file>